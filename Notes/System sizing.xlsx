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7eee6894c89cb7/Documents/Personal/ESC/"/>
    </mc:Choice>
  </mc:AlternateContent>
  <xr:revisionPtr revIDLastSave="36" documentId="8_{8E64CB2E-735D-4A55-B7EC-60E752E7761F}" xr6:coauthVersionLast="47" xr6:coauthVersionMax="47" xr10:uidLastSave="{1601A691-FC45-4809-A2AF-E6CE34ECBFDD}"/>
  <bookViews>
    <workbookView xWindow="-98" yWindow="-98" windowWidth="22695" windowHeight="14476" xr2:uid="{6F15647F-C7E4-4860-B26D-A948D25CA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  <c r="B24" i="1" s="1"/>
  <c r="B25" i="1" s="1"/>
  <c r="B7" i="1"/>
  <c r="B8" i="1" s="1"/>
  <c r="B17" i="1" l="1"/>
  <c r="B18" i="1" s="1"/>
  <c r="B21" i="1"/>
  <c r="B23" i="1" s="1"/>
</calcChain>
</file>

<file path=xl/sharedStrings.xml><?xml version="1.0" encoding="utf-8"?>
<sst xmlns="http://schemas.openxmlformats.org/spreadsheetml/2006/main" count="51" uniqueCount="46">
  <si>
    <t>Human mass</t>
  </si>
  <si>
    <t>Vehicle mass</t>
  </si>
  <si>
    <t>kg</t>
  </si>
  <si>
    <t>Battery mass</t>
  </si>
  <si>
    <t>Wh/kg</t>
  </si>
  <si>
    <t>Common and achievable</t>
  </si>
  <si>
    <t>Battery specific energy</t>
  </si>
  <si>
    <t>Battery capacity</t>
  </si>
  <si>
    <t>Kinda a WAG. 10-20Ah seems typical for 36V and 48V E-bike batteries, so this would be on the high end</t>
  </si>
  <si>
    <t>Wh</t>
  </si>
  <si>
    <t>Total mass</t>
  </si>
  <si>
    <t>Note: doesn’t include motor or drive electronics. Have some fudge factor so far and we can come back to include motor mass later if designing a real vehicle</t>
  </si>
  <si>
    <t>Incline</t>
  </si>
  <si>
    <t>Speed</t>
  </si>
  <si>
    <t>Power req</t>
  </si>
  <si>
    <t>Torque req</t>
  </si>
  <si>
    <t>deg</t>
  </si>
  <si>
    <t>km/h</t>
  </si>
  <si>
    <t>m/s</t>
  </si>
  <si>
    <t>W</t>
  </si>
  <si>
    <t>minimum req to beat gravity and hold speed</t>
  </si>
  <si>
    <t>Nm</t>
  </si>
  <si>
    <t>minimum req to move mass up hill</t>
  </si>
  <si>
    <t>N</t>
  </si>
  <si>
    <t>Force req</t>
  </si>
  <si>
    <t>Wheel diameter</t>
  </si>
  <si>
    <t>m</t>
  </si>
  <si>
    <t>~29" bike tire</t>
  </si>
  <si>
    <t>Calcs for super basic hand-wavey requirements for the ESC. High level goal is this should be able to support a single motor driving an E-bike. Really just looking for initial target numbers so we know that we can do interesting things with the ESC</t>
  </si>
  <si>
    <t>Gear ratio</t>
  </si>
  <si>
    <t>input turns vs output turns</t>
  </si>
  <si>
    <t>Speed req</t>
  </si>
  <si>
    <t>rpm</t>
  </si>
  <si>
    <t>rad/s</t>
  </si>
  <si>
    <t>mountain bike (high end of weight range)</t>
  </si>
  <si>
    <t>Min battery voltage</t>
  </si>
  <si>
    <t>V</t>
  </si>
  <si>
    <t>Current req</t>
  </si>
  <si>
    <t>A</t>
  </si>
  <si>
    <t>Uphill</t>
  </si>
  <si>
    <t>Motor efficiency</t>
  </si>
  <si>
    <t>See below*</t>
  </si>
  <si>
    <t>* efficiency notes for PMSM</t>
  </si>
  <si>
    <t>typically higher than 75% though this study only looked at 2 and 4 Nm loads</t>
  </si>
  <si>
    <t>not really including gear box efficiency here. These numbers are mostly WAGs anyway just design with margin</t>
  </si>
  <si>
    <t>The speed vs torque trade off can be handled later with motor Kv specs and gear box sizing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</si>
</sst>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3" fillId="3" borderId="2" xfId="3" applyAlignment="1">
      <alignment horizontal="left"/>
    </xf>
    <xf numFmtId="0" fontId="4" fillId="3" borderId="1" xfId="4" applyAlignment="1">
      <alignment horizontal="left"/>
    </xf>
    <xf numFmtId="0" fontId="2" fillId="2" borderId="1" xfId="2" applyAlignment="1">
      <alignment horizontal="left"/>
    </xf>
    <xf numFmtId="9" fontId="2" fillId="2" borderId="1" xfId="2" applyNumberFormat="1" applyAlignment="1">
      <alignment horizontal="left"/>
    </xf>
    <xf numFmtId="0" fontId="5" fillId="0" borderId="0" xfId="0" applyFont="1" applyAlignment="1">
      <alignment horizontal="center"/>
    </xf>
  </cellXfs>
  <cellStyles count="5">
    <cellStyle name="Calculation" xfId="4" builtinId="22"/>
    <cellStyle name="Hyperlink" xfId="1" builtinId="8"/>
    <cellStyle name="Input" xfId="2" builtinId="20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esearchgate.net/publication/311761219_Impact_of_PWM_Control_Frequency_onto_Efficiency_of_a_1_kW_Permanent_Magnet_Synchronous_Motor_PMSM?_tp=eyJjb250ZXh0Ijp7ImZpcnN0UGFnZSI6Il9kaXJlY3QiLCJwYWdlIjoiX2RpcmVjdCJ9fQ" TargetMode="External"/><Relationship Id="rId1" Type="http://schemas.openxmlformats.org/officeDocument/2006/relationships/hyperlink" Target="https://www.researchgate.net/figure/Specific-power-vs-specific-energy-of-Li-Ion-batteries-distinguished-by-cell-chemistry_fig2_269297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2FB8-FB19-4333-9FDA-E0E49FC67E30}">
  <dimension ref="A1:D33"/>
  <sheetViews>
    <sheetView tabSelected="1" workbookViewId="0">
      <selection activeCell="K15" sqref="K15"/>
    </sheetView>
  </sheetViews>
  <sheetFormatPr defaultRowHeight="14.25" x14ac:dyDescent="0.45"/>
  <cols>
    <col min="1" max="1" width="18.73046875" style="1" bestFit="1" customWidth="1"/>
    <col min="2" max="16384" width="9.06640625" style="1"/>
  </cols>
  <sheetData>
    <row r="1" spans="1:4" x14ac:dyDescent="0.45">
      <c r="A1" s="1" t="s">
        <v>28</v>
      </c>
    </row>
    <row r="3" spans="1:4" x14ac:dyDescent="0.45">
      <c r="A3" s="1" t="s">
        <v>0</v>
      </c>
      <c r="B3" s="7">
        <v>100</v>
      </c>
      <c r="C3" s="1" t="s">
        <v>2</v>
      </c>
    </row>
    <row r="4" spans="1:4" x14ac:dyDescent="0.45">
      <c r="A4" s="1" t="s">
        <v>1</v>
      </c>
      <c r="B4" s="7">
        <v>15</v>
      </c>
      <c r="C4" s="1" t="s">
        <v>2</v>
      </c>
      <c r="D4" s="1" t="s">
        <v>34</v>
      </c>
    </row>
    <row r="5" spans="1:4" x14ac:dyDescent="0.45">
      <c r="A5" s="1" t="s">
        <v>6</v>
      </c>
      <c r="B5" s="7">
        <v>150</v>
      </c>
      <c r="C5" s="1" t="s">
        <v>4</v>
      </c>
      <c r="D5" s="2" t="s">
        <v>5</v>
      </c>
    </row>
    <row r="6" spans="1:4" x14ac:dyDescent="0.45">
      <c r="A6" s="1" t="s">
        <v>7</v>
      </c>
      <c r="B6" s="7">
        <v>1000</v>
      </c>
      <c r="C6" s="1" t="s">
        <v>9</v>
      </c>
      <c r="D6" s="1" t="s">
        <v>8</v>
      </c>
    </row>
    <row r="7" spans="1:4" x14ac:dyDescent="0.45">
      <c r="A7" s="1" t="s">
        <v>3</v>
      </c>
      <c r="B7" s="6">
        <f>B6/B5</f>
        <v>6.666666666666667</v>
      </c>
      <c r="C7" s="1" t="s">
        <v>2</v>
      </c>
    </row>
    <row r="8" spans="1:4" x14ac:dyDescent="0.45">
      <c r="A8" s="1" t="s">
        <v>10</v>
      </c>
      <c r="B8" s="6">
        <f>B3+B4+B7</f>
        <v>121.66666666666667</v>
      </c>
      <c r="C8" s="1" t="s">
        <v>2</v>
      </c>
      <c r="D8" s="1" t="s">
        <v>11</v>
      </c>
    </row>
    <row r="10" spans="1:4" x14ac:dyDescent="0.45">
      <c r="A10" s="9" t="s">
        <v>39</v>
      </c>
      <c r="B10" s="9"/>
      <c r="C10" s="9"/>
    </row>
    <row r="11" spans="1:4" x14ac:dyDescent="0.45">
      <c r="A11" s="1" t="s">
        <v>12</v>
      </c>
      <c r="B11" s="7">
        <v>20</v>
      </c>
      <c r="C11" s="1" t="s">
        <v>16</v>
      </c>
    </row>
    <row r="12" spans="1:4" x14ac:dyDescent="0.45">
      <c r="A12" s="3" t="s">
        <v>13</v>
      </c>
      <c r="B12" s="7">
        <v>10</v>
      </c>
      <c r="C12" s="1" t="s">
        <v>17</v>
      </c>
    </row>
    <row r="13" spans="1:4" x14ac:dyDescent="0.45">
      <c r="A13" s="3"/>
      <c r="B13" s="6">
        <f>CONVERT(B12,"km/h","m/sec")</f>
        <v>2.7777777777777777</v>
      </c>
      <c r="C13" s="1" t="s">
        <v>18</v>
      </c>
    </row>
    <row r="14" spans="1:4" x14ac:dyDescent="0.45">
      <c r="A14" s="1" t="s">
        <v>40</v>
      </c>
      <c r="B14" s="8">
        <v>0.75</v>
      </c>
      <c r="C14" s="1" t="s">
        <v>41</v>
      </c>
      <c r="D14" s="1" t="s">
        <v>44</v>
      </c>
    </row>
    <row r="15" spans="1:4" x14ac:dyDescent="0.45">
      <c r="A15" s="1" t="s">
        <v>35</v>
      </c>
      <c r="B15" s="7">
        <v>36</v>
      </c>
      <c r="C15" s="1" t="s">
        <v>36</v>
      </c>
    </row>
    <row r="16" spans="1:4" x14ac:dyDescent="0.45">
      <c r="A16" s="1" t="s">
        <v>25</v>
      </c>
      <c r="B16" s="7">
        <v>0.75</v>
      </c>
      <c r="C16" s="1" t="s">
        <v>26</v>
      </c>
      <c r="D16" s="1" t="s">
        <v>27</v>
      </c>
    </row>
    <row r="17" spans="1:4" x14ac:dyDescent="0.45">
      <c r="A17" s="1" t="s">
        <v>14</v>
      </c>
      <c r="B17" s="5">
        <f>B8*9.81*B13*SIN(B11*PI()/180)/B14</f>
        <v>1511.9190446901923</v>
      </c>
      <c r="C17" s="1" t="s">
        <v>19</v>
      </c>
      <c r="D17" s="1" t="s">
        <v>22</v>
      </c>
    </row>
    <row r="18" spans="1:4" x14ac:dyDescent="0.45">
      <c r="A18" s="1" t="s">
        <v>37</v>
      </c>
      <c r="B18" s="5">
        <f>B17/B15</f>
        <v>41.997751241394234</v>
      </c>
      <c r="C18" s="1" t="s">
        <v>38</v>
      </c>
      <c r="D18" s="1" t="s">
        <v>22</v>
      </c>
    </row>
    <row r="20" spans="1:4" x14ac:dyDescent="0.45">
      <c r="A20" s="4" t="s">
        <v>45</v>
      </c>
    </row>
    <row r="21" spans="1:4" x14ac:dyDescent="0.45">
      <c r="A21" s="1" t="s">
        <v>24</v>
      </c>
      <c r="B21" s="6">
        <f>B8*9.81*SIN(B11*PI()/180)</f>
        <v>408.21814206635196</v>
      </c>
      <c r="C21" s="1" t="s">
        <v>23</v>
      </c>
      <c r="D21" s="1" t="s">
        <v>20</v>
      </c>
    </row>
    <row r="22" spans="1:4" x14ac:dyDescent="0.45">
      <c r="A22" s="1" t="s">
        <v>29</v>
      </c>
      <c r="B22" s="7">
        <v>1</v>
      </c>
      <c r="D22" s="1" t="s">
        <v>30</v>
      </c>
    </row>
    <row r="23" spans="1:4" x14ac:dyDescent="0.45">
      <c r="A23" s="1" t="s">
        <v>15</v>
      </c>
      <c r="B23" s="5">
        <f>B21*B16/B22</f>
        <v>306.16360654976398</v>
      </c>
      <c r="C23" s="1" t="s">
        <v>21</v>
      </c>
      <c r="D23" s="1" t="s">
        <v>20</v>
      </c>
    </row>
    <row r="24" spans="1:4" x14ac:dyDescent="0.45">
      <c r="A24" s="1" t="s">
        <v>31</v>
      </c>
      <c r="B24" s="5">
        <f>B22*B13/B16</f>
        <v>3.7037037037037037</v>
      </c>
      <c r="C24" s="1" t="s">
        <v>33</v>
      </c>
    </row>
    <row r="25" spans="1:4" x14ac:dyDescent="0.45">
      <c r="B25" s="5">
        <f>60*B24/(2*PI())</f>
        <v>35.367765131532302</v>
      </c>
      <c r="C25" s="1" t="s">
        <v>32</v>
      </c>
    </row>
    <row r="32" spans="1:4" x14ac:dyDescent="0.45">
      <c r="A32" s="1" t="s">
        <v>42</v>
      </c>
    </row>
    <row r="33" spans="1:1" x14ac:dyDescent="0.45">
      <c r="A33" s="2" t="s">
        <v>43</v>
      </c>
    </row>
  </sheetData>
  <mergeCells count="2">
    <mergeCell ref="A12:A13"/>
    <mergeCell ref="A10:C10"/>
  </mergeCells>
  <hyperlinks>
    <hyperlink ref="D5" r:id="rId1" display="Achievable but high-end" xr:uid="{E0670A30-31FE-46F4-8933-B63D5133B173}"/>
    <hyperlink ref="A33" r:id="rId2" xr:uid="{E7AB3859-7B20-42AB-81D7-1036BB64C8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Pham</dc:creator>
  <cp:lastModifiedBy>Evan Pham</cp:lastModifiedBy>
  <dcterms:created xsi:type="dcterms:W3CDTF">2026-01-16T21:18:02Z</dcterms:created>
  <dcterms:modified xsi:type="dcterms:W3CDTF">2026-02-13T23:28:05Z</dcterms:modified>
</cp:coreProperties>
</file>